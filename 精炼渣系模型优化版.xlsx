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<sst xmlns="http://schemas.openxmlformats.org/spreadsheetml/2006/main" count="103" uniqueCount="81">
  <si>
    <t>精炼炉渣模型</t>
  </si>
  <si>
    <t>钢水实际成分</t>
  </si>
  <si>
    <t>钢种</t>
  </si>
  <si>
    <r>
      <t>钢水量</t>
    </r>
    <r>
      <rPr>
        <b/>
        <sz val="12"/>
        <rFont val="Times New Roman"/>
        <charset val="134"/>
      </rPr>
      <t>(</t>
    </r>
    <r>
      <rPr>
        <b/>
        <sz val="12"/>
        <rFont val="宋体"/>
        <charset val="134"/>
      </rPr>
      <t>吨</t>
    </r>
    <r>
      <rPr>
        <b/>
        <sz val="12"/>
        <rFont val="Times New Roman"/>
        <charset val="134"/>
      </rPr>
      <t>)</t>
    </r>
  </si>
  <si>
    <r>
      <t>钢水成分</t>
    </r>
    <r>
      <rPr>
        <b/>
        <sz val="12"/>
        <rFont val="Times New Roman"/>
        <charset val="134"/>
      </rPr>
      <t>(%)</t>
    </r>
  </si>
  <si>
    <t>C</t>
  </si>
  <si>
    <t>Si</t>
  </si>
  <si>
    <t>Mn</t>
  </si>
  <si>
    <t>P</t>
  </si>
  <si>
    <t>S</t>
  </si>
  <si>
    <t>Ca</t>
  </si>
  <si>
    <t>Al</t>
  </si>
  <si>
    <t>造渣及脱氧材料</t>
  </si>
  <si>
    <t>工序</t>
  </si>
  <si>
    <t>项目</t>
  </si>
  <si>
    <t>加入量</t>
  </si>
  <si>
    <t>成分（wt.%）</t>
  </si>
  <si>
    <t>材料</t>
  </si>
  <si>
    <r>
      <rPr>
        <b/>
        <sz val="12"/>
        <rFont val="Times New Roman"/>
        <charset val="134"/>
      </rPr>
      <t>kg/</t>
    </r>
    <r>
      <rPr>
        <b/>
        <sz val="12"/>
        <rFont val="宋体"/>
        <charset val="134"/>
      </rPr>
      <t>炉</t>
    </r>
  </si>
  <si>
    <t>CaO</t>
  </si>
  <si>
    <r>
      <rPr>
        <b/>
        <sz val="12"/>
        <rFont val="Times New Roman"/>
        <charset val="0"/>
      </rPr>
      <t>SiO</t>
    </r>
    <r>
      <rPr>
        <b/>
        <vertAlign val="subscript"/>
        <sz val="12"/>
        <rFont val="Times New Roman"/>
        <charset val="0"/>
      </rPr>
      <t>2</t>
    </r>
  </si>
  <si>
    <r>
      <rPr>
        <b/>
        <sz val="12"/>
        <rFont val="Times New Roman"/>
        <charset val="0"/>
      </rPr>
      <t>Al</t>
    </r>
    <r>
      <rPr>
        <b/>
        <vertAlign val="subscript"/>
        <sz val="12"/>
        <rFont val="Times New Roman"/>
        <charset val="0"/>
      </rPr>
      <t>2</t>
    </r>
    <r>
      <rPr>
        <b/>
        <sz val="12"/>
        <rFont val="Times New Roman"/>
        <charset val="0"/>
      </rPr>
      <t>O</t>
    </r>
    <r>
      <rPr>
        <b/>
        <vertAlign val="subscript"/>
        <sz val="12"/>
        <rFont val="Times New Roman"/>
        <charset val="0"/>
      </rPr>
      <t>3</t>
    </r>
  </si>
  <si>
    <t>MgO</t>
  </si>
  <si>
    <r>
      <rPr>
        <b/>
        <sz val="12"/>
        <rFont val="Times New Roman"/>
        <charset val="0"/>
      </rPr>
      <t>CaF</t>
    </r>
    <r>
      <rPr>
        <b/>
        <vertAlign val="subscript"/>
        <sz val="12"/>
        <rFont val="Times New Roman"/>
        <charset val="0"/>
      </rPr>
      <t>2</t>
    </r>
  </si>
  <si>
    <t>CaC2</t>
  </si>
  <si>
    <t>Cr</t>
  </si>
  <si>
    <t>Ti</t>
  </si>
  <si>
    <t>转炉出钢</t>
  </si>
  <si>
    <t>白灰</t>
  </si>
  <si>
    <t>铝锭</t>
  </si>
  <si>
    <t>铝线</t>
  </si>
  <si>
    <t>低碳铬铁</t>
  </si>
  <si>
    <t>低碳锰铁</t>
  </si>
  <si>
    <t>高碳铬铁</t>
  </si>
  <si>
    <t>高碳锰铁</t>
  </si>
  <si>
    <t>硅铁（72#）</t>
  </si>
  <si>
    <t>低硅硅铁</t>
  </si>
  <si>
    <t>低钛硅铁</t>
  </si>
  <si>
    <t>低钛高碳铬铁</t>
  </si>
  <si>
    <t>硅锰</t>
  </si>
  <si>
    <t>LF精炼</t>
  </si>
  <si>
    <t>铝粒</t>
  </si>
  <si>
    <t>70碳化硅</t>
  </si>
  <si>
    <t>90碳化硅</t>
  </si>
  <si>
    <t>硅铁孕育剂</t>
  </si>
  <si>
    <t>钼铁</t>
  </si>
  <si>
    <t>铌铁</t>
  </si>
  <si>
    <t>硼铁</t>
  </si>
  <si>
    <t>钛铁</t>
  </si>
  <si>
    <t>硅钙线</t>
  </si>
  <si>
    <t>纯钙线</t>
  </si>
  <si>
    <t>萤石球</t>
  </si>
  <si>
    <t>低氟化渣剂</t>
  </si>
  <si>
    <t>轴承钢精炼渣</t>
  </si>
  <si>
    <t>低钛预熔精炼渣</t>
  </si>
  <si>
    <t>高铝预熔渣</t>
  </si>
  <si>
    <t>转炉下渣量</t>
  </si>
  <si>
    <t>钢包耐材</t>
  </si>
  <si>
    <t>炉渣理论计算值</t>
  </si>
  <si>
    <t>转炉下渣量(kg)</t>
  </si>
  <si>
    <t>钢水量(t)</t>
  </si>
  <si>
    <r>
      <t>转炉终点</t>
    </r>
    <r>
      <rPr>
        <b/>
        <sz val="12"/>
        <color theme="1"/>
        <rFont val="Times New Roman"/>
        <charset val="134"/>
      </rPr>
      <t>P(%</t>
    </r>
    <r>
      <rPr>
        <b/>
        <sz val="12"/>
        <color theme="1"/>
        <rFont val="宋体"/>
        <charset val="134"/>
      </rPr>
      <t>）</t>
    </r>
  </si>
  <si>
    <r>
      <t>精炼结束</t>
    </r>
    <r>
      <rPr>
        <b/>
        <sz val="12"/>
        <color theme="1"/>
        <rFont val="Times New Roman"/>
        <charset val="134"/>
      </rPr>
      <t>P(%)</t>
    </r>
  </si>
  <si>
    <r>
      <t>回</t>
    </r>
    <r>
      <rPr>
        <b/>
        <sz val="12"/>
        <color theme="1"/>
        <rFont val="Times New Roman"/>
        <charset val="134"/>
      </rPr>
      <t>P</t>
    </r>
    <r>
      <rPr>
        <b/>
        <sz val="12"/>
        <color theme="1"/>
        <rFont val="宋体"/>
        <charset val="134"/>
      </rPr>
      <t>量(%)</t>
    </r>
  </si>
  <si>
    <r>
      <t>转炉渣</t>
    </r>
    <r>
      <rPr>
        <b/>
        <sz val="12"/>
        <color theme="1"/>
        <rFont val="Times New Roman"/>
        <charset val="134"/>
      </rPr>
      <t>P(%)</t>
    </r>
  </si>
  <si>
    <r>
      <t>总渣量</t>
    </r>
    <r>
      <rPr>
        <b/>
        <sz val="12"/>
        <rFont val="Times New Roman"/>
        <charset val="134"/>
      </rPr>
      <t>(kg)</t>
    </r>
  </si>
  <si>
    <r>
      <t>SiO</t>
    </r>
    <r>
      <rPr>
        <b/>
        <vertAlign val="subscript"/>
        <sz val="12"/>
        <rFont val="Times New Roman"/>
        <charset val="0"/>
      </rPr>
      <t>2</t>
    </r>
  </si>
  <si>
    <r>
      <t>Al</t>
    </r>
    <r>
      <rPr>
        <b/>
        <vertAlign val="subscript"/>
        <sz val="12"/>
        <rFont val="Times New Roman"/>
        <charset val="0"/>
      </rPr>
      <t>2</t>
    </r>
    <r>
      <rPr>
        <b/>
        <sz val="12"/>
        <rFont val="Times New Roman"/>
        <charset val="0"/>
      </rPr>
      <t>O</t>
    </r>
    <r>
      <rPr>
        <b/>
        <vertAlign val="subscript"/>
        <sz val="12"/>
        <rFont val="Times New Roman"/>
        <charset val="0"/>
      </rPr>
      <t>3</t>
    </r>
  </si>
  <si>
    <t>R</t>
  </si>
  <si>
    <t>C/A</t>
  </si>
  <si>
    <r>
      <t>含量</t>
    </r>
    <r>
      <rPr>
        <b/>
        <sz val="12"/>
        <rFont val="Times New Roman"/>
        <charset val="134"/>
      </rPr>
      <t>(%)</t>
    </r>
  </si>
  <si>
    <t>目标渣系</t>
  </si>
  <si>
    <r>
      <rPr>
        <sz val="12"/>
        <rFont val="Times New Roman"/>
        <charset val="0"/>
      </rPr>
      <t>SiO</t>
    </r>
    <r>
      <rPr>
        <vertAlign val="subscript"/>
        <sz val="12"/>
        <rFont val="Times New Roman"/>
        <charset val="0"/>
      </rPr>
      <t>2</t>
    </r>
  </si>
  <si>
    <r>
      <rPr>
        <sz val="12"/>
        <rFont val="Times New Roman"/>
        <charset val="0"/>
      </rPr>
      <t>Al</t>
    </r>
    <r>
      <rPr>
        <vertAlign val="subscript"/>
        <sz val="12"/>
        <rFont val="Times New Roman"/>
        <charset val="0"/>
      </rPr>
      <t>2</t>
    </r>
    <r>
      <rPr>
        <sz val="12"/>
        <rFont val="Times New Roman"/>
        <charset val="0"/>
      </rPr>
      <t>O</t>
    </r>
    <r>
      <rPr>
        <vertAlign val="subscript"/>
        <sz val="12"/>
        <rFont val="Times New Roman"/>
        <charset val="0"/>
      </rPr>
      <t>3</t>
    </r>
  </si>
  <si>
    <r>
      <t>含量</t>
    </r>
    <r>
      <rPr>
        <sz val="12"/>
        <rFont val="Times New Roman"/>
        <charset val="134"/>
      </rPr>
      <t>(%)</t>
    </r>
  </si>
  <si>
    <t>50~55</t>
  </si>
  <si>
    <t>8~12</t>
  </si>
  <si>
    <t>25~35</t>
  </si>
  <si>
    <t>4~6</t>
  </si>
  <si>
    <t>4~8</t>
  </si>
  <si>
    <t>1.5~2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</si>
</sst>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.0_ "/>
  </numFmts>
  <fonts count="37">
    <font>
      <sz val="11"/>
      <color theme="1"/>
      <name val="宋体"/>
      <charset val="134"/>
      <scheme val="minor"/>
    </font>
    <font>
      <b/>
      <sz val="24"/>
      <name val="宋体"/>
      <charset val="134"/>
    </font>
    <font>
      <b/>
      <sz val="20"/>
      <name val="宋体"/>
      <charset val="134"/>
    </font>
    <font>
      <b/>
      <sz val="12"/>
      <name val="宋体"/>
      <charset val="134"/>
    </font>
    <font>
      <b/>
      <sz val="12"/>
      <name val="Times New Roman"/>
      <charset val="134"/>
    </font>
    <font>
      <b/>
      <sz val="16"/>
      <name val="宋体"/>
      <charset val="134"/>
    </font>
    <font>
      <b/>
      <sz val="12"/>
      <name val="Times New Roman"/>
      <charset val="0"/>
    </font>
    <font>
      <b/>
      <sz val="12"/>
      <color rgb="FFFF0000"/>
      <name val="宋体"/>
      <charset val="134"/>
    </font>
    <font>
      <b/>
      <sz val="18"/>
      <name val="宋体"/>
      <charset val="134"/>
    </font>
    <font>
      <sz val="12"/>
      <name val="Times New Roman"/>
      <charset val="134"/>
    </font>
    <font>
      <sz val="12"/>
      <name val="Times New Roman"/>
      <charset val="0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2"/>
      <name val="Times New Roman"/>
      <charset val="0"/>
    </font>
    <font>
      <vertAlign val="subscript"/>
      <sz val="12"/>
      <name val="Times New Roman"/>
      <charset val="0"/>
    </font>
  </fonts>
  <fills count="38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2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24" applyNumberFormat="0" applyAlignment="0" applyProtection="0">
      <alignment vertical="center"/>
    </xf>
    <xf numFmtId="0" fontId="25" fillId="9" borderId="25" applyNumberFormat="0" applyAlignment="0" applyProtection="0">
      <alignment vertical="center"/>
    </xf>
    <xf numFmtId="0" fontId="26" fillId="9" borderId="24" applyNumberFormat="0" applyAlignment="0" applyProtection="0">
      <alignment vertical="center"/>
    </xf>
    <xf numFmtId="0" fontId="27" fillId="10" borderId="26" applyNumberFormat="0" applyAlignment="0" applyProtection="0">
      <alignment vertical="center"/>
    </xf>
    <xf numFmtId="0" fontId="28" fillId="0" borderId="27" applyNumberFormat="0" applyFill="0" applyAlignment="0" applyProtection="0">
      <alignment vertical="center"/>
    </xf>
    <xf numFmtId="0" fontId="29" fillId="0" borderId="28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176" fontId="4" fillId="4" borderId="6" xfId="0" applyNumberFormat="1" applyFont="1" applyFill="1" applyBorder="1" applyAlignment="1">
      <alignment horizontal="center" vertical="center"/>
    </xf>
    <xf numFmtId="0" fontId="0" fillId="0" borderId="7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/>
    </xf>
    <xf numFmtId="176" fontId="4" fillId="0" borderId="4" xfId="0" applyNumberFormat="1" applyFont="1" applyFill="1" applyBorder="1" applyAlignment="1">
      <alignment horizontal="center"/>
    </xf>
    <xf numFmtId="176" fontId="4" fillId="0" borderId="4" xfId="0" applyNumberFormat="1" applyFont="1" applyFill="1" applyBorder="1" applyAlignment="1">
      <alignment horizontal="center" vertical="center"/>
    </xf>
    <xf numFmtId="176" fontId="4" fillId="0" borderId="15" xfId="0" applyNumberFormat="1" applyFont="1" applyFill="1" applyBorder="1" applyAlignment="1">
      <alignment horizontal="center" vertical="center"/>
    </xf>
    <xf numFmtId="176" fontId="9" fillId="0" borderId="0" xfId="0" applyNumberFormat="1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/>
    </xf>
    <xf numFmtId="176" fontId="4" fillId="0" borderId="6" xfId="0" applyNumberFormat="1" applyFont="1" applyFill="1" applyBorder="1" applyAlignment="1">
      <alignment horizontal="center"/>
    </xf>
    <xf numFmtId="176" fontId="4" fillId="0" borderId="6" xfId="0" applyNumberFormat="1" applyFont="1" applyFill="1" applyBorder="1" applyAlignment="1">
      <alignment horizontal="center" vertical="center"/>
    </xf>
    <xf numFmtId="176" fontId="4" fillId="0" borderId="16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/>
    </xf>
    <xf numFmtId="176" fontId="9" fillId="0" borderId="6" xfId="0" applyNumberFormat="1" applyFont="1" applyFill="1" applyBorder="1" applyAlignment="1">
      <alignment horizontal="center"/>
    </xf>
    <xf numFmtId="176" fontId="9" fillId="0" borderId="16" xfId="0" applyNumberFormat="1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/>
    <xf numFmtId="0" fontId="12" fillId="0" borderId="4" xfId="0" applyFont="1" applyFill="1" applyBorder="1" applyAlignment="1">
      <alignment vertical="center"/>
    </xf>
    <xf numFmtId="0" fontId="12" fillId="0" borderId="15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/>
    </xf>
    <xf numFmtId="0" fontId="12" fillId="0" borderId="16" xfId="0" applyFont="1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1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178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19" xfId="0" applyFont="1" applyFill="1" applyBorder="1" applyAlignment="1">
      <alignment horizontal="center" vertical="center"/>
    </xf>
    <xf numFmtId="177" fontId="15" fillId="0" borderId="3" xfId="0" applyNumberFormat="1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5" fillId="0" borderId="15" xfId="0" applyFont="1" applyFill="1" applyBorder="1" applyAlignment="1">
      <alignment horizontal="center" vertical="center"/>
    </xf>
    <xf numFmtId="177" fontId="15" fillId="0" borderId="5" xfId="0" applyNumberFormat="1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442595</xdr:colOff>
      <xdr:row>6</xdr:row>
      <xdr:rowOff>339090</xdr:rowOff>
    </xdr:from>
    <xdr:to>
      <xdr:col>27</xdr:col>
      <xdr:colOff>461010</xdr:colOff>
      <xdr:row>31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952980" y="1824990"/>
          <a:ext cx="6304915" cy="4893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0"/>
  <sheetViews>
    <sheetView tabSelected="1" zoomScale="70" zoomScaleNormal="70" workbookViewId="0">
      <selection activeCell="T47" sqref="T47"/>
    </sheetView>
  </sheetViews>
  <sheetFormatPr defaultColWidth="9" defaultRowHeight="14"/>
  <cols>
    <col min="1" max="1" width="16.2545454545455" style="1" customWidth="1"/>
    <col min="2" max="2" width="22.0272727272727" style="1" customWidth="1"/>
    <col min="3" max="3" width="11.5090909090909" style="1" customWidth="1"/>
    <col min="4" max="6" width="9" style="1"/>
    <col min="7" max="7" width="9.37272727272727" style="1"/>
    <col min="8" max="8" width="9" style="1"/>
    <col min="9" max="9" width="17.3727272727273" style="1" customWidth="1"/>
    <col min="10" max="10" width="11.9090909090909" style="1" customWidth="1"/>
    <col min="11" max="11" width="17.1454545454545" style="1" customWidth="1"/>
    <col min="12" max="12" width="14.9363636363636" style="1" customWidth="1"/>
    <col min="13" max="13" width="11.6909090909091" style="1" customWidth="1"/>
    <col min="14" max="14" width="12.5181818181818" style="1" customWidth="1"/>
    <col min="15" max="16375" width="9" style="1"/>
  </cols>
  <sheetData>
    <row r="1" s="1" customFormat="1" ht="31" spans="1:1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62"/>
    </row>
    <row r="2" s="1" customFormat="1" ht="25.5" spans="1:16">
      <c r="A2" s="4" t="s">
        <v>1</v>
      </c>
      <c r="B2" s="5"/>
      <c r="C2" s="5"/>
      <c r="D2" s="5"/>
      <c r="E2" s="5"/>
      <c r="F2" s="5"/>
      <c r="G2" s="5"/>
      <c r="H2" s="5"/>
      <c r="I2" s="5"/>
      <c r="J2" s="63"/>
      <c r="K2" s="64"/>
      <c r="L2" s="64"/>
      <c r="M2" s="64"/>
      <c r="N2" s="64"/>
      <c r="O2" s="65"/>
      <c r="P2" s="66"/>
    </row>
    <row r="3" s="1" customFormat="1" ht="15" spans="1:16">
      <c r="A3" s="6" t="s">
        <v>2</v>
      </c>
      <c r="B3" s="7" t="s">
        <v>3</v>
      </c>
      <c r="C3" s="8" t="s">
        <v>4</v>
      </c>
      <c r="D3" s="9"/>
      <c r="E3" s="9"/>
      <c r="F3" s="9"/>
      <c r="G3" s="9"/>
      <c r="H3" s="9"/>
      <c r="I3" s="9"/>
      <c r="J3" s="67"/>
      <c r="K3" s="67"/>
      <c r="L3" s="64"/>
      <c r="M3" s="64"/>
      <c r="N3" s="64"/>
      <c r="O3" s="65"/>
      <c r="P3" s="66"/>
    </row>
    <row r="4" s="1" customFormat="1" ht="15" spans="1:16">
      <c r="A4" s="10"/>
      <c r="B4" s="11">
        <v>130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67"/>
      <c r="K4" s="67"/>
      <c r="L4" s="8"/>
      <c r="M4" s="8"/>
      <c r="N4" s="8"/>
      <c r="O4" s="65"/>
      <c r="P4" s="66"/>
    </row>
    <row r="5" s="1" customFormat="1" ht="15.75" spans="1:16">
      <c r="A5" s="13"/>
      <c r="B5" s="14"/>
      <c r="C5" s="15"/>
      <c r="D5" s="15"/>
      <c r="E5" s="15"/>
      <c r="F5" s="15"/>
      <c r="G5" s="15"/>
      <c r="H5" s="16"/>
      <c r="I5" s="15"/>
      <c r="J5" s="68"/>
      <c r="K5" s="68"/>
      <c r="L5" s="69"/>
      <c r="M5" s="69"/>
      <c r="N5" s="69"/>
      <c r="O5" s="70"/>
      <c r="P5" s="71"/>
    </row>
    <row r="6" s="1" customFormat="1" ht="14.75" spans="1:16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P6" s="72"/>
    </row>
    <row r="7" s="1" customFormat="1" ht="31.75" spans="1:16">
      <c r="A7" s="19" t="s">
        <v>12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73"/>
    </row>
    <row r="8" s="1" customFormat="1" ht="21" spans="1:16">
      <c r="A8" s="21" t="s">
        <v>13</v>
      </c>
      <c r="B8" s="22" t="s">
        <v>14</v>
      </c>
      <c r="C8" s="22" t="s">
        <v>15</v>
      </c>
      <c r="D8" s="23" t="s">
        <v>16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74"/>
    </row>
    <row r="9" s="1" customFormat="1" ht="19.5" spans="1:16">
      <c r="A9" s="24"/>
      <c r="B9" s="25" t="s">
        <v>17</v>
      </c>
      <c r="C9" s="26" t="s">
        <v>18</v>
      </c>
      <c r="D9" s="26" t="s">
        <v>19</v>
      </c>
      <c r="E9" s="27" t="s">
        <v>20</v>
      </c>
      <c r="F9" s="27" t="s">
        <v>21</v>
      </c>
      <c r="G9" s="27" t="s">
        <v>22</v>
      </c>
      <c r="H9" s="27" t="s">
        <v>23</v>
      </c>
      <c r="I9" s="26" t="s">
        <v>24</v>
      </c>
      <c r="J9" s="26" t="s">
        <v>5</v>
      </c>
      <c r="K9" s="26" t="s">
        <v>6</v>
      </c>
      <c r="L9" s="26" t="s">
        <v>7</v>
      </c>
      <c r="M9" s="26" t="s">
        <v>25</v>
      </c>
      <c r="N9" s="26" t="s">
        <v>11</v>
      </c>
      <c r="O9" s="26" t="s">
        <v>10</v>
      </c>
      <c r="P9" s="75" t="s">
        <v>26</v>
      </c>
    </row>
    <row r="10" s="1" customFormat="1" ht="15" spans="1:16">
      <c r="A10" s="24" t="s">
        <v>27</v>
      </c>
      <c r="B10" s="28" t="s">
        <v>28</v>
      </c>
      <c r="C10" s="29"/>
      <c r="D10" s="29">
        <v>85</v>
      </c>
      <c r="E10" s="29">
        <v>1.65</v>
      </c>
      <c r="F10" s="29"/>
      <c r="G10" s="29">
        <v>1.8</v>
      </c>
      <c r="H10" s="29"/>
      <c r="I10" s="29"/>
      <c r="J10" s="29"/>
      <c r="K10" s="29"/>
      <c r="L10" s="29"/>
      <c r="M10" s="29"/>
      <c r="N10" s="29"/>
      <c r="O10" s="29"/>
      <c r="P10" s="76"/>
    </row>
    <row r="11" s="1" customFormat="1" ht="15" spans="1:16">
      <c r="A11" s="24"/>
      <c r="B11" s="28" t="s">
        <v>29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>
        <v>99.9</v>
      </c>
      <c r="O11" s="29"/>
      <c r="P11" s="76"/>
    </row>
    <row r="12" s="1" customFormat="1" ht="15" spans="1:16">
      <c r="A12" s="24"/>
      <c r="B12" s="28" t="s">
        <v>30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>
        <v>99.9</v>
      </c>
      <c r="O12" s="29"/>
      <c r="P12" s="76"/>
    </row>
    <row r="13" s="1" customFormat="1" ht="15" spans="1:16">
      <c r="A13" s="24"/>
      <c r="B13" s="28" t="s">
        <v>31</v>
      </c>
      <c r="C13" s="29"/>
      <c r="D13" s="29"/>
      <c r="E13" s="29"/>
      <c r="F13" s="29"/>
      <c r="G13" s="29"/>
      <c r="H13" s="29"/>
      <c r="I13" s="29"/>
      <c r="J13" s="29">
        <v>0.13</v>
      </c>
      <c r="K13" s="29">
        <v>1.2</v>
      </c>
      <c r="L13" s="29"/>
      <c r="M13" s="29">
        <v>56</v>
      </c>
      <c r="N13" s="29"/>
      <c r="O13" s="29"/>
      <c r="P13" s="76"/>
    </row>
    <row r="14" s="1" customFormat="1" ht="15" spans="1:16">
      <c r="A14" s="24"/>
      <c r="B14" s="28" t="s">
        <v>32</v>
      </c>
      <c r="C14" s="29"/>
      <c r="D14" s="29"/>
      <c r="E14" s="29"/>
      <c r="F14" s="29"/>
      <c r="G14" s="29"/>
      <c r="H14" s="29"/>
      <c r="I14" s="29"/>
      <c r="J14" s="29">
        <v>0.58</v>
      </c>
      <c r="K14" s="29">
        <v>0.6</v>
      </c>
      <c r="L14" s="29">
        <v>82</v>
      </c>
      <c r="M14" s="29"/>
      <c r="N14" s="29"/>
      <c r="O14" s="29"/>
      <c r="P14" s="76"/>
    </row>
    <row r="15" s="1" customFormat="1" ht="15" spans="1:16">
      <c r="A15" s="24"/>
      <c r="B15" s="28" t="s">
        <v>33</v>
      </c>
      <c r="C15" s="29"/>
      <c r="D15" s="29"/>
      <c r="E15" s="29"/>
      <c r="F15" s="29"/>
      <c r="G15" s="29"/>
      <c r="H15" s="29"/>
      <c r="I15" s="29"/>
      <c r="J15" s="77">
        <v>8</v>
      </c>
      <c r="K15" s="29">
        <v>3.5</v>
      </c>
      <c r="L15" s="29"/>
      <c r="M15" s="29">
        <v>55</v>
      </c>
      <c r="N15" s="29"/>
      <c r="O15" s="29"/>
      <c r="P15" s="76"/>
    </row>
    <row r="16" s="1" customFormat="1" ht="15" spans="1:16">
      <c r="A16" s="24"/>
      <c r="B16" s="28" t="s">
        <v>34</v>
      </c>
      <c r="C16" s="29"/>
      <c r="D16" s="29"/>
      <c r="E16" s="29"/>
      <c r="F16" s="29"/>
      <c r="G16" s="29"/>
      <c r="H16" s="29"/>
      <c r="I16" s="29"/>
      <c r="J16" s="29">
        <v>5.6</v>
      </c>
      <c r="K16" s="77">
        <v>1.8</v>
      </c>
      <c r="L16" s="29">
        <v>71</v>
      </c>
      <c r="M16" s="29"/>
      <c r="N16" s="29"/>
      <c r="O16" s="29"/>
      <c r="P16" s="76"/>
    </row>
    <row r="17" s="1" customFormat="1" ht="15" spans="1:16">
      <c r="A17" s="24"/>
      <c r="B17" s="28" t="s">
        <v>35</v>
      </c>
      <c r="C17" s="29"/>
      <c r="D17" s="29"/>
      <c r="E17" s="29"/>
      <c r="F17" s="29"/>
      <c r="G17" s="29"/>
      <c r="H17" s="29"/>
      <c r="I17" s="29"/>
      <c r="J17" s="29"/>
      <c r="K17" s="29">
        <v>72</v>
      </c>
      <c r="L17" s="29">
        <v>0.13</v>
      </c>
      <c r="M17" s="29"/>
      <c r="N17" s="29"/>
      <c r="O17" s="78"/>
      <c r="P17" s="76"/>
    </row>
    <row r="18" s="1" customFormat="1" ht="15" spans="1:16">
      <c r="A18" s="24"/>
      <c r="B18" s="28" t="s">
        <v>36</v>
      </c>
      <c r="C18" s="29"/>
      <c r="D18" s="29"/>
      <c r="E18" s="29"/>
      <c r="F18" s="29"/>
      <c r="G18" s="29"/>
      <c r="H18" s="29"/>
      <c r="I18" s="29"/>
      <c r="J18" s="29">
        <v>1.1</v>
      </c>
      <c r="K18" s="29">
        <v>24</v>
      </c>
      <c r="L18" s="29"/>
      <c r="M18" s="29"/>
      <c r="N18" s="29">
        <v>1.1</v>
      </c>
      <c r="O18" s="78">
        <v>2.5</v>
      </c>
      <c r="P18" s="79"/>
    </row>
    <row r="19" s="1" customFormat="1" ht="15" spans="1:16">
      <c r="A19" s="24"/>
      <c r="B19" s="28" t="s">
        <v>37</v>
      </c>
      <c r="C19" s="29"/>
      <c r="D19" s="29"/>
      <c r="E19" s="29"/>
      <c r="F19" s="29"/>
      <c r="G19" s="29"/>
      <c r="H19" s="29"/>
      <c r="I19" s="29"/>
      <c r="J19" s="29"/>
      <c r="K19" s="29">
        <v>79.64</v>
      </c>
      <c r="L19" s="29">
        <v>0.089</v>
      </c>
      <c r="M19" s="29"/>
      <c r="N19" s="29"/>
      <c r="O19" s="78"/>
      <c r="P19" s="79">
        <v>0.018</v>
      </c>
    </row>
    <row r="20" s="1" customFormat="1" ht="15" spans="1:16">
      <c r="A20" s="24"/>
      <c r="B20" s="28" t="s">
        <v>38</v>
      </c>
      <c r="C20" s="29"/>
      <c r="D20" s="29"/>
      <c r="E20" s="29"/>
      <c r="F20" s="29"/>
      <c r="G20" s="29"/>
      <c r="H20" s="29"/>
      <c r="I20" s="29"/>
      <c r="J20" s="29">
        <v>8.3</v>
      </c>
      <c r="K20" s="29">
        <v>0.37</v>
      </c>
      <c r="L20" s="29"/>
      <c r="M20" s="29">
        <v>69</v>
      </c>
      <c r="N20" s="29"/>
      <c r="O20" s="78"/>
      <c r="P20" s="79">
        <v>0.018</v>
      </c>
    </row>
    <row r="21" s="1" customFormat="1" ht="15.75" spans="1:16">
      <c r="A21" s="30"/>
      <c r="B21" s="31" t="s">
        <v>39</v>
      </c>
      <c r="C21" s="15"/>
      <c r="D21" s="15"/>
      <c r="E21" s="15"/>
      <c r="F21" s="15"/>
      <c r="G21" s="15"/>
      <c r="H21" s="15"/>
      <c r="I21" s="15"/>
      <c r="J21" s="15">
        <v>1.6</v>
      </c>
      <c r="K21" s="15">
        <v>18</v>
      </c>
      <c r="L21" s="15">
        <v>66</v>
      </c>
      <c r="M21" s="15"/>
      <c r="N21" s="15"/>
      <c r="O21" s="80"/>
      <c r="P21" s="81"/>
    </row>
    <row r="22" s="1" customFormat="1" ht="15" spans="1:16">
      <c r="A22" s="32" t="s">
        <v>40</v>
      </c>
      <c r="B22" s="33" t="s">
        <v>28</v>
      </c>
      <c r="C22" s="34"/>
      <c r="D22" s="34">
        <v>85</v>
      </c>
      <c r="E22" s="34">
        <v>1.65</v>
      </c>
      <c r="F22" s="34"/>
      <c r="G22" s="34">
        <v>1.8</v>
      </c>
      <c r="H22" s="34"/>
      <c r="I22" s="34"/>
      <c r="J22" s="34"/>
      <c r="K22" s="34"/>
      <c r="L22" s="34"/>
      <c r="M22" s="34"/>
      <c r="N22" s="34"/>
      <c r="O22" s="34"/>
      <c r="P22" s="82"/>
    </row>
    <row r="23" s="1" customFormat="1" ht="15" spans="1:16">
      <c r="A23" s="24"/>
      <c r="B23" s="35" t="s">
        <v>41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>
        <v>99.9</v>
      </c>
      <c r="O23" s="29"/>
      <c r="P23" s="76"/>
    </row>
    <row r="24" s="1" customFormat="1" ht="15" spans="1:16">
      <c r="A24" s="24"/>
      <c r="B24" s="35" t="s">
        <v>30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>
        <v>99.9</v>
      </c>
      <c r="O24" s="29"/>
      <c r="P24" s="76"/>
    </row>
    <row r="25" s="1" customFormat="1" ht="15" spans="1:16">
      <c r="A25" s="24"/>
      <c r="B25" s="35" t="s">
        <v>31</v>
      </c>
      <c r="C25" s="29"/>
      <c r="D25" s="29"/>
      <c r="E25" s="29"/>
      <c r="F25" s="29"/>
      <c r="G25" s="29"/>
      <c r="H25" s="29"/>
      <c r="I25" s="29"/>
      <c r="J25" s="29">
        <v>0.13</v>
      </c>
      <c r="K25" s="29">
        <v>1.2</v>
      </c>
      <c r="L25" s="29"/>
      <c r="M25" s="29">
        <v>56</v>
      </c>
      <c r="N25" s="29"/>
      <c r="O25" s="29"/>
      <c r="P25" s="76"/>
    </row>
    <row r="26" s="1" customFormat="1" ht="15" spans="1:16">
      <c r="A26" s="24"/>
      <c r="B26" s="35" t="s">
        <v>32</v>
      </c>
      <c r="C26" s="29"/>
      <c r="D26" s="29"/>
      <c r="E26" s="29"/>
      <c r="F26" s="29"/>
      <c r="G26" s="29"/>
      <c r="H26" s="29"/>
      <c r="I26" s="29"/>
      <c r="J26" s="29">
        <v>0.58</v>
      </c>
      <c r="K26" s="29">
        <v>0.6</v>
      </c>
      <c r="L26" s="29">
        <v>82</v>
      </c>
      <c r="M26" s="29"/>
      <c r="N26" s="29"/>
      <c r="O26" s="29"/>
      <c r="P26" s="76"/>
    </row>
    <row r="27" s="1" customFormat="1" ht="15" spans="1:16">
      <c r="A27" s="24"/>
      <c r="B27" s="35" t="s">
        <v>33</v>
      </c>
      <c r="C27" s="29"/>
      <c r="D27" s="29"/>
      <c r="E27" s="29"/>
      <c r="F27" s="29"/>
      <c r="G27" s="29"/>
      <c r="H27" s="29"/>
      <c r="I27" s="29"/>
      <c r="J27" s="77">
        <v>8</v>
      </c>
      <c r="K27" s="29">
        <v>3.5</v>
      </c>
      <c r="L27" s="29"/>
      <c r="M27" s="29">
        <v>55</v>
      </c>
      <c r="N27" s="29"/>
      <c r="O27" s="29"/>
      <c r="P27" s="76"/>
    </row>
    <row r="28" s="1" customFormat="1" ht="15" spans="1:16">
      <c r="A28" s="24"/>
      <c r="B28" s="35" t="s">
        <v>34</v>
      </c>
      <c r="C28" s="29"/>
      <c r="D28" s="29"/>
      <c r="E28" s="29"/>
      <c r="F28" s="29"/>
      <c r="G28" s="29"/>
      <c r="H28" s="29"/>
      <c r="I28" s="29"/>
      <c r="J28" s="29">
        <v>5.6</v>
      </c>
      <c r="K28" s="77">
        <v>1.8</v>
      </c>
      <c r="L28" s="29">
        <v>71</v>
      </c>
      <c r="M28" s="29"/>
      <c r="N28" s="29"/>
      <c r="O28" s="29"/>
      <c r="P28" s="76"/>
    </row>
    <row r="29" s="1" customFormat="1" ht="15" spans="1:16">
      <c r="A29" s="24"/>
      <c r="B29" s="28" t="s">
        <v>35</v>
      </c>
      <c r="C29" s="29"/>
      <c r="D29" s="29"/>
      <c r="E29" s="29"/>
      <c r="F29" s="29"/>
      <c r="G29" s="29"/>
      <c r="H29" s="29"/>
      <c r="I29" s="29"/>
      <c r="J29" s="29"/>
      <c r="K29" s="29">
        <v>72</v>
      </c>
      <c r="L29" s="29">
        <v>0.13</v>
      </c>
      <c r="M29" s="29"/>
      <c r="N29" s="29"/>
      <c r="O29" s="78"/>
      <c r="P29" s="76"/>
    </row>
    <row r="30" s="1" customFormat="1" ht="15" spans="1:16">
      <c r="A30" s="24"/>
      <c r="B30" s="28" t="s">
        <v>36</v>
      </c>
      <c r="C30" s="29"/>
      <c r="D30" s="29"/>
      <c r="E30" s="29"/>
      <c r="F30" s="29"/>
      <c r="G30" s="29"/>
      <c r="H30" s="29"/>
      <c r="I30" s="29"/>
      <c r="J30" s="29">
        <v>1.1</v>
      </c>
      <c r="K30" s="29">
        <v>24</v>
      </c>
      <c r="L30" s="29"/>
      <c r="M30" s="29"/>
      <c r="N30" s="29">
        <v>1.1</v>
      </c>
      <c r="O30" s="78">
        <v>2.5</v>
      </c>
      <c r="P30" s="79"/>
    </row>
    <row r="31" s="1" customFormat="1" ht="15" spans="1:16">
      <c r="A31" s="24"/>
      <c r="B31" s="28" t="s">
        <v>37</v>
      </c>
      <c r="C31" s="29"/>
      <c r="D31" s="29"/>
      <c r="E31" s="29"/>
      <c r="F31" s="29"/>
      <c r="G31" s="29"/>
      <c r="H31" s="29"/>
      <c r="I31" s="29"/>
      <c r="J31" s="29"/>
      <c r="K31" s="29">
        <v>79.64</v>
      </c>
      <c r="L31" s="29">
        <v>0.089</v>
      </c>
      <c r="M31" s="29"/>
      <c r="N31" s="29"/>
      <c r="O31" s="78"/>
      <c r="P31" s="79">
        <v>0.018</v>
      </c>
    </row>
    <row r="32" s="1" customFormat="1" ht="15" spans="1:16">
      <c r="A32" s="24"/>
      <c r="B32" s="28" t="s">
        <v>38</v>
      </c>
      <c r="C32" s="29"/>
      <c r="D32" s="29"/>
      <c r="E32" s="29"/>
      <c r="F32" s="29"/>
      <c r="G32" s="29"/>
      <c r="H32" s="29"/>
      <c r="I32" s="29"/>
      <c r="J32" s="29">
        <v>8.3</v>
      </c>
      <c r="K32" s="29">
        <v>0.37</v>
      </c>
      <c r="L32" s="29"/>
      <c r="M32" s="29">
        <v>69</v>
      </c>
      <c r="N32" s="29"/>
      <c r="O32" s="78"/>
      <c r="P32" s="79">
        <v>0.018</v>
      </c>
    </row>
    <row r="33" s="1" customFormat="1" ht="15" spans="1:16">
      <c r="A33" s="24"/>
      <c r="B33" s="28" t="s">
        <v>39</v>
      </c>
      <c r="C33" s="29"/>
      <c r="D33" s="29"/>
      <c r="E33" s="29"/>
      <c r="F33" s="29"/>
      <c r="G33" s="29"/>
      <c r="H33" s="29"/>
      <c r="I33" s="29"/>
      <c r="J33" s="29">
        <v>1.6</v>
      </c>
      <c r="K33" s="29">
        <v>18</v>
      </c>
      <c r="L33" s="29">
        <v>66</v>
      </c>
      <c r="M33" s="29"/>
      <c r="N33" s="29"/>
      <c r="O33" s="78"/>
      <c r="P33" s="79"/>
    </row>
    <row r="34" s="1" customFormat="1" ht="15" spans="1:16">
      <c r="A34" s="24"/>
      <c r="B34" s="28" t="s">
        <v>42</v>
      </c>
      <c r="C34" s="29"/>
      <c r="D34" s="29"/>
      <c r="E34" s="29">
        <v>12</v>
      </c>
      <c r="F34" s="29"/>
      <c r="G34" s="29"/>
      <c r="H34" s="29"/>
      <c r="I34" s="29"/>
      <c r="J34" s="29"/>
      <c r="K34" s="29">
        <v>49</v>
      </c>
      <c r="L34" s="29"/>
      <c r="M34" s="29"/>
      <c r="N34" s="29"/>
      <c r="O34" s="78"/>
      <c r="P34" s="79"/>
    </row>
    <row r="35" s="1" customFormat="1" ht="15" spans="1:16">
      <c r="A35" s="24"/>
      <c r="B35" s="28" t="s">
        <v>43</v>
      </c>
      <c r="C35" s="29"/>
      <c r="D35" s="29"/>
      <c r="E35" s="29">
        <v>2.5</v>
      </c>
      <c r="F35" s="29"/>
      <c r="G35" s="29"/>
      <c r="H35" s="29"/>
      <c r="I35" s="29"/>
      <c r="J35" s="29"/>
      <c r="K35" s="29">
        <v>63</v>
      </c>
      <c r="L35" s="29"/>
      <c r="M35" s="29"/>
      <c r="N35" s="29"/>
      <c r="O35" s="29"/>
      <c r="P35" s="79"/>
    </row>
    <row r="36" s="1" customFormat="1" ht="15" spans="1:16">
      <c r="A36" s="24"/>
      <c r="B36" s="28" t="s">
        <v>44</v>
      </c>
      <c r="C36" s="29"/>
      <c r="D36" s="29"/>
      <c r="E36" s="29"/>
      <c r="F36" s="29"/>
      <c r="G36" s="29"/>
      <c r="H36" s="29"/>
      <c r="I36" s="29"/>
      <c r="J36" s="29"/>
      <c r="K36" s="29">
        <v>73</v>
      </c>
      <c r="L36" s="29"/>
      <c r="M36" s="29"/>
      <c r="N36" s="29">
        <v>1.8</v>
      </c>
      <c r="O36" s="29"/>
      <c r="P36" s="79"/>
    </row>
    <row r="37" s="1" customFormat="1" ht="15" spans="1:16">
      <c r="A37" s="24"/>
      <c r="B37" s="28" t="s">
        <v>45</v>
      </c>
      <c r="C37" s="29"/>
      <c r="D37" s="29"/>
      <c r="E37" s="29"/>
      <c r="F37" s="29"/>
      <c r="G37" s="29"/>
      <c r="H37" s="29"/>
      <c r="I37" s="29"/>
      <c r="J37" s="29">
        <v>0.03</v>
      </c>
      <c r="K37" s="29">
        <v>0.84</v>
      </c>
      <c r="L37" s="29"/>
      <c r="M37" s="29"/>
      <c r="N37" s="29"/>
      <c r="O37" s="29"/>
      <c r="P37" s="79"/>
    </row>
    <row r="38" s="1" customFormat="1" ht="15" spans="1:16">
      <c r="A38" s="24"/>
      <c r="B38" s="28" t="s">
        <v>46</v>
      </c>
      <c r="C38" s="29"/>
      <c r="D38" s="29"/>
      <c r="E38" s="29"/>
      <c r="F38" s="29"/>
      <c r="G38" s="29"/>
      <c r="H38" s="29"/>
      <c r="I38" s="29"/>
      <c r="J38" s="29">
        <v>0.13</v>
      </c>
      <c r="K38" s="29">
        <v>1.65</v>
      </c>
      <c r="L38" s="29"/>
      <c r="M38" s="29"/>
      <c r="N38" s="29">
        <v>1.98</v>
      </c>
      <c r="O38" s="29"/>
      <c r="P38" s="79"/>
    </row>
    <row r="39" s="1" customFormat="1" ht="15" spans="1:16">
      <c r="A39" s="24"/>
      <c r="B39" s="28" t="s">
        <v>47</v>
      </c>
      <c r="C39" s="29"/>
      <c r="D39" s="29"/>
      <c r="E39" s="29"/>
      <c r="F39" s="29"/>
      <c r="G39" s="29"/>
      <c r="H39" s="29"/>
      <c r="I39" s="29"/>
      <c r="J39" s="29">
        <v>0.22</v>
      </c>
      <c r="K39" s="29">
        <v>0.33</v>
      </c>
      <c r="L39" s="29"/>
      <c r="M39" s="29"/>
      <c r="N39" s="29">
        <v>0.025</v>
      </c>
      <c r="O39" s="29"/>
      <c r="P39" s="79"/>
    </row>
    <row r="40" s="1" customFormat="1" ht="15" spans="1:16">
      <c r="A40" s="24"/>
      <c r="B40" s="28" t="s">
        <v>48</v>
      </c>
      <c r="C40" s="29"/>
      <c r="D40" s="29"/>
      <c r="E40" s="29"/>
      <c r="F40" s="29"/>
      <c r="G40" s="29"/>
      <c r="H40" s="29"/>
      <c r="I40" s="29"/>
      <c r="J40" s="29">
        <v>0.053</v>
      </c>
      <c r="K40" s="29">
        <v>3.87</v>
      </c>
      <c r="L40" s="29">
        <v>1.63</v>
      </c>
      <c r="M40" s="29"/>
      <c r="N40" s="29">
        <v>5.5</v>
      </c>
      <c r="O40" s="29"/>
      <c r="P40" s="79">
        <v>35</v>
      </c>
    </row>
    <row r="41" s="1" customFormat="1" ht="15" spans="1:16">
      <c r="A41" s="24"/>
      <c r="B41" s="28" t="s">
        <v>49</v>
      </c>
      <c r="C41" s="29"/>
      <c r="D41" s="29"/>
      <c r="E41" s="29"/>
      <c r="F41" s="29"/>
      <c r="G41" s="29"/>
      <c r="H41" s="29"/>
      <c r="I41" s="29"/>
      <c r="J41" s="29"/>
      <c r="K41" s="29">
        <v>55.6</v>
      </c>
      <c r="L41" s="29"/>
      <c r="M41" s="29"/>
      <c r="N41" s="29"/>
      <c r="O41" s="29">
        <v>28.5</v>
      </c>
      <c r="P41" s="79"/>
    </row>
    <row r="42" s="1" customFormat="1" ht="15" spans="1:16">
      <c r="A42" s="24"/>
      <c r="B42" s="28" t="s">
        <v>50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>
        <v>99</v>
      </c>
      <c r="P42" s="79"/>
    </row>
    <row r="43" s="1" customFormat="1" ht="15" spans="1:16">
      <c r="A43" s="24"/>
      <c r="B43" s="28" t="s">
        <v>51</v>
      </c>
      <c r="C43" s="29"/>
      <c r="D43" s="29"/>
      <c r="E43" s="29">
        <v>8</v>
      </c>
      <c r="F43" s="29"/>
      <c r="G43" s="29"/>
      <c r="H43" s="29">
        <v>80</v>
      </c>
      <c r="I43" s="29"/>
      <c r="J43" s="29"/>
      <c r="K43" s="29"/>
      <c r="L43" s="29"/>
      <c r="M43" s="29"/>
      <c r="N43" s="29"/>
      <c r="O43" s="29"/>
      <c r="P43" s="79"/>
    </row>
    <row r="44" s="1" customFormat="1" ht="15" spans="1:16">
      <c r="A44" s="24"/>
      <c r="B44" s="28" t="s">
        <v>52</v>
      </c>
      <c r="C44" s="29"/>
      <c r="D44" s="29">
        <v>12.5</v>
      </c>
      <c r="E44" s="29">
        <v>3.8</v>
      </c>
      <c r="F44" s="29">
        <v>44</v>
      </c>
      <c r="G44" s="29">
        <v>3.5</v>
      </c>
      <c r="H44" s="29">
        <v>25</v>
      </c>
      <c r="I44" s="29"/>
      <c r="J44" s="29"/>
      <c r="K44" s="29"/>
      <c r="L44" s="29"/>
      <c r="M44" s="29"/>
      <c r="N44" s="29"/>
      <c r="O44" s="78"/>
      <c r="P44" s="79"/>
    </row>
    <row r="45" s="1" customFormat="1" ht="15" spans="1:16">
      <c r="A45" s="24"/>
      <c r="B45" s="28" t="s">
        <v>53</v>
      </c>
      <c r="C45" s="29"/>
      <c r="D45" s="29">
        <v>49.5</v>
      </c>
      <c r="E45" s="29">
        <v>3.07</v>
      </c>
      <c r="F45" s="29">
        <v>40</v>
      </c>
      <c r="G45" s="29"/>
      <c r="H45" s="29"/>
      <c r="I45" s="29"/>
      <c r="J45" s="29"/>
      <c r="K45" s="29"/>
      <c r="L45" s="29"/>
      <c r="M45" s="29"/>
      <c r="N45" s="29"/>
      <c r="O45" s="78"/>
      <c r="P45" s="79"/>
    </row>
    <row r="46" s="1" customFormat="1" ht="15" spans="1:16">
      <c r="A46" s="24"/>
      <c r="B46" s="28" t="s">
        <v>54</v>
      </c>
      <c r="C46" s="29"/>
      <c r="D46" s="29">
        <v>53.35</v>
      </c>
      <c r="E46" s="29">
        <v>3.6</v>
      </c>
      <c r="F46" s="29">
        <v>41.3</v>
      </c>
      <c r="G46" s="29">
        <v>2.57</v>
      </c>
      <c r="H46" s="29"/>
      <c r="I46" s="29"/>
      <c r="J46" s="29"/>
      <c r="K46" s="29"/>
      <c r="L46" s="29"/>
      <c r="M46" s="29"/>
      <c r="N46" s="29"/>
      <c r="O46" s="29"/>
      <c r="P46" s="79"/>
    </row>
    <row r="47" s="1" customFormat="1" ht="15.75" spans="1:16">
      <c r="A47" s="30"/>
      <c r="B47" s="31" t="s">
        <v>55</v>
      </c>
      <c r="C47" s="15"/>
      <c r="D47" s="15">
        <v>15.2</v>
      </c>
      <c r="E47" s="15">
        <v>6.5</v>
      </c>
      <c r="F47" s="15">
        <v>66.2</v>
      </c>
      <c r="G47" s="15">
        <v>4.85</v>
      </c>
      <c r="H47" s="15"/>
      <c r="I47" s="15"/>
      <c r="J47" s="15"/>
      <c r="K47" s="15"/>
      <c r="L47" s="15"/>
      <c r="M47" s="15"/>
      <c r="N47" s="15"/>
      <c r="O47" s="15"/>
      <c r="P47" s="81"/>
    </row>
    <row r="48" s="1" customFormat="1" ht="15" spans="1:16">
      <c r="A48" s="32"/>
      <c r="B48" s="36" t="s">
        <v>56</v>
      </c>
      <c r="C48" s="34"/>
      <c r="D48" s="34">
        <v>44.5</v>
      </c>
      <c r="E48" s="34">
        <v>13.6</v>
      </c>
      <c r="F48" s="34">
        <v>1.5</v>
      </c>
      <c r="G48" s="34">
        <v>10</v>
      </c>
      <c r="H48" s="34"/>
      <c r="I48" s="34"/>
      <c r="J48" s="34"/>
      <c r="K48" s="34"/>
      <c r="L48" s="34"/>
      <c r="M48" s="34"/>
      <c r="N48" s="34"/>
      <c r="O48" s="34"/>
      <c r="P48" s="83"/>
    </row>
    <row r="49" s="1" customFormat="1" ht="15.75" spans="1:16">
      <c r="A49" s="30"/>
      <c r="B49" s="31" t="s">
        <v>57</v>
      </c>
      <c r="C49" s="15"/>
      <c r="D49" s="15"/>
      <c r="E49" s="15"/>
      <c r="F49" s="15"/>
      <c r="G49" s="15">
        <v>70</v>
      </c>
      <c r="H49" s="15"/>
      <c r="I49" s="15"/>
      <c r="J49" s="15"/>
      <c r="K49" s="15"/>
      <c r="L49" s="15"/>
      <c r="M49" s="15"/>
      <c r="N49" s="15"/>
      <c r="O49" s="15"/>
      <c r="P49" s="81"/>
    </row>
    <row r="50" s="1" customFormat="1" spans="1:14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="1" customFormat="1" ht="14.75" spans="1:14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="1" customFormat="1" ht="23" spans="1:14">
      <c r="A52" s="37" t="s">
        <v>58</v>
      </c>
      <c r="B52" s="38"/>
      <c r="C52" s="38"/>
      <c r="D52" s="38"/>
      <c r="E52" s="38"/>
      <c r="F52" s="38"/>
      <c r="G52" s="39"/>
      <c r="H52" s="40"/>
      <c r="I52" s="84" t="s">
        <v>59</v>
      </c>
      <c r="J52" s="85" t="s">
        <v>60</v>
      </c>
      <c r="K52" s="85" t="s">
        <v>61</v>
      </c>
      <c r="L52" s="85" t="s">
        <v>62</v>
      </c>
      <c r="M52" s="85" t="s">
        <v>63</v>
      </c>
      <c r="N52" s="86" t="s">
        <v>64</v>
      </c>
    </row>
    <row r="53" s="1" customFormat="1" ht="19.5" spans="1:14">
      <c r="A53" s="41" t="s">
        <v>65</v>
      </c>
      <c r="B53" s="9" t="s">
        <v>19</v>
      </c>
      <c r="C53" s="42" t="s">
        <v>66</v>
      </c>
      <c r="D53" s="42" t="s">
        <v>67</v>
      </c>
      <c r="E53" s="42" t="s">
        <v>22</v>
      </c>
      <c r="F53" s="42" t="s">
        <v>68</v>
      </c>
      <c r="G53" s="43" t="s">
        <v>69</v>
      </c>
      <c r="H53" s="44"/>
      <c r="I53" s="87">
        <f>J53*1000*(M53/100)/(N53/100)</f>
        <v>113.636363636364</v>
      </c>
      <c r="J53" s="88">
        <v>125</v>
      </c>
      <c r="K53" s="88">
        <v>0.011</v>
      </c>
      <c r="L53" s="88">
        <v>0.012</v>
      </c>
      <c r="M53" s="88">
        <v>0.001</v>
      </c>
      <c r="N53" s="89">
        <v>1.1</v>
      </c>
    </row>
    <row r="54" s="1" customFormat="1" ht="15" spans="1:14">
      <c r="A54" s="45">
        <f>(B54+C54+D54+E54)/0.95</f>
        <v>0</v>
      </c>
      <c r="B54" s="46">
        <f>(C10*D10+C22*D22+C44*D44+C45*D45+C46*D46+C47*D47+C48*D48)/100+(C43*H43+C44*H44)*0.718/100+(C18*O18+C30*O30+C41*O41+C42*O42-B4*1000*H5)*1.4/100</f>
        <v>0</v>
      </c>
      <c r="C54" s="46">
        <f>(C10*E10+C22*E22+C34*E34+C35*E35+C43*E43+C44*E44+C45*E45+C46*E46+C47*E47+C48*E48)/100+(C13*K13+C14*K14+C15*K15+C16*K16+C17*K17+C18*K18+C19*K19+C20*K20+C21*K21+C25*K25+C26*K26+C27*K27+C28*K28+C29*K29+C30*K30+C31*K31+C32*K32+C33*K33+C34*K34+C35*K35+C36*K36+C37*K37+C38*K38+C39*K39+C40*K40+C41*K41-B4*D5*1000)*2.14/100-(C43*H43+C44*H44)*0.385/100</f>
        <v>0</v>
      </c>
      <c r="D54" s="46">
        <f>(C44*F44+C45*F45+C46*F46+C47*F47+C48*F48)/100+(C11*N11+C12*N12+C18*N18+C23*N23+C24*N24+C30*N30+C36*N36+C38*N38+C39*N39+C40*N40)*0.8*1.89/100-B4*I5*1000*1.89/100</f>
        <v>0</v>
      </c>
      <c r="E54" s="46">
        <f>(C10*G10+C22*G22+C44*G44+C46*G46+C47*G47+C48*G48+C49*G49)/100</f>
        <v>0</v>
      </c>
      <c r="F54" s="47" t="e">
        <f>B54/C54</f>
        <v>#DIV/0!</v>
      </c>
      <c r="G54" s="48" t="e">
        <f>B54/D54</f>
        <v>#DIV/0!</v>
      </c>
      <c r="H54" s="49"/>
      <c r="I54" s="87">
        <f>J54*1000*(M54/100)/(N54/100)</f>
        <v>227.272727272727</v>
      </c>
      <c r="J54" s="88">
        <v>125</v>
      </c>
      <c r="K54" s="88">
        <v>0.011</v>
      </c>
      <c r="L54" s="88">
        <v>0.013</v>
      </c>
      <c r="M54" s="88">
        <v>0.002</v>
      </c>
      <c r="N54" s="89">
        <v>1.1</v>
      </c>
    </row>
    <row r="55" s="1" customFormat="1" ht="15.75" spans="1:14">
      <c r="A55" s="50" t="s">
        <v>70</v>
      </c>
      <c r="B55" s="51" t="e">
        <f>B54/A54*100</f>
        <v>#DIV/0!</v>
      </c>
      <c r="C55" s="51" t="e">
        <f>C54/A54*100</f>
        <v>#DIV/0!</v>
      </c>
      <c r="D55" s="51" t="e">
        <f>D54/A54*100</f>
        <v>#DIV/0!</v>
      </c>
      <c r="E55" s="51" t="e">
        <f>E54/A54*100</f>
        <v>#DIV/0!</v>
      </c>
      <c r="F55" s="52"/>
      <c r="G55" s="53"/>
      <c r="H55" s="49"/>
      <c r="I55" s="90">
        <f>J55*1000*(M55/100)/(N55/100)</f>
        <v>340.909090909091</v>
      </c>
      <c r="J55" s="91">
        <v>125</v>
      </c>
      <c r="K55" s="91">
        <v>0.011</v>
      </c>
      <c r="L55" s="91">
        <v>0.014</v>
      </c>
      <c r="M55" s="91">
        <v>0.003</v>
      </c>
      <c r="N55" s="92">
        <v>1.1</v>
      </c>
    </row>
    <row r="56" s="1" customFormat="1" spans="1:14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ht="16" customHeight="1" spans="1:7">
      <c r="A57" s="54"/>
      <c r="B57" s="54"/>
      <c r="C57" s="54"/>
      <c r="D57" s="54"/>
      <c r="E57" s="54"/>
      <c r="F57" s="54"/>
      <c r="G57" s="54"/>
    </row>
    <row r="58" ht="23" spans="1:7">
      <c r="A58" s="37" t="s">
        <v>71</v>
      </c>
      <c r="B58" s="38"/>
      <c r="C58" s="38"/>
      <c r="D58" s="38"/>
      <c r="E58" s="38"/>
      <c r="F58" s="38"/>
      <c r="G58" s="39"/>
    </row>
    <row r="59" ht="19.5" spans="1:7">
      <c r="A59" s="55"/>
      <c r="B59" s="56" t="s">
        <v>19</v>
      </c>
      <c r="C59" s="57" t="s">
        <v>72</v>
      </c>
      <c r="D59" s="57" t="s">
        <v>73</v>
      </c>
      <c r="E59" s="57" t="s">
        <v>22</v>
      </c>
      <c r="F59" s="57" t="s">
        <v>68</v>
      </c>
      <c r="G59" s="58" t="s">
        <v>69</v>
      </c>
    </row>
    <row r="60" ht="16.25" spans="1:7">
      <c r="A60" s="59" t="s">
        <v>74</v>
      </c>
      <c r="B60" s="60" t="s">
        <v>75</v>
      </c>
      <c r="C60" s="60" t="s">
        <v>76</v>
      </c>
      <c r="D60" s="60" t="s">
        <v>77</v>
      </c>
      <c r="E60" s="60" t="s">
        <v>78</v>
      </c>
      <c r="F60" s="60" t="s">
        <v>79</v>
      </c>
      <c r="G60" s="61" t="s">
        <v>80</v>
      </c>
    </row>
  </sheetData>
  <mergeCells count="16">
    <mergeCell ref="A1:P1"/>
    <mergeCell ref="A2:I2"/>
    <mergeCell ref="C3:I3"/>
    <mergeCell ref="A7:P7"/>
    <mergeCell ref="D8:P8"/>
    <mergeCell ref="A52:G52"/>
    <mergeCell ref="A58:G58"/>
    <mergeCell ref="A4:A5"/>
    <mergeCell ref="A8:A9"/>
    <mergeCell ref="A10:A21"/>
    <mergeCell ref="A22:A47"/>
    <mergeCell ref="A48:A49"/>
    <mergeCell ref="B4:B5"/>
    <mergeCell ref="F54:F55"/>
    <mergeCell ref="G54:G55"/>
    <mergeCell ref="H54:H5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小丽同学</cp:lastModifiedBy>
  <dcterms:created xsi:type="dcterms:W3CDTF">2025-11-10T05:52:00Z</dcterms:created>
  <dcterms:modified xsi:type="dcterms:W3CDTF">2025-11-11T05:48:56Z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1DF4AFDD59C947EF94FCF383515EE593_11</vt:lpwstr>
  </property>
  <property fmtid="{D5CDD505-2E9C-101B-9397-08002B2CF9AE}" pid="3" name="KSOProductBuildVer">
    <vt:lpwstr>2052-12.1.0.23125</vt:lpwstr>
  </property>
</Properties>
</file>